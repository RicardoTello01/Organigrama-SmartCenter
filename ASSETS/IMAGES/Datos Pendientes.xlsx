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f6115966633648b/Escritorio/Organigrama_Coorporativo/proyecto_organigrama_base_fotos/Organigrama/ASSETS/IMAGES/"/>
    </mc:Choice>
  </mc:AlternateContent>
  <xr:revisionPtr revIDLastSave="66" documentId="13_ncr:1_{2F497012-664D-4822-A9C0-C508E9ED5918}" xr6:coauthVersionLast="47" xr6:coauthVersionMax="47" xr10:uidLastSave="{87C9F6DF-596F-40E0-AA39-ADDFF06D8AEC}"/>
  <bookViews>
    <workbookView xWindow="-120" yWindow="-120" windowWidth="29040" windowHeight="15720" xr2:uid="{46F60368-A387-4D2B-A569-2D36B52E3CDE}"/>
  </bookViews>
  <sheets>
    <sheet name="Hoja1" sheetId="1" r:id="rId1"/>
  </sheets>
  <definedNames>
    <definedName name="_xlnm._FilterDatabase" localSheetId="0" hidden="1">Hoja1!$A$3:$L$47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<sst xmlns="http://schemas.openxmlformats.org/spreadsheetml/2006/main" count="176" uniqueCount="128">
  <si>
    <t>DIRECTOR DE SITE</t>
  </si>
  <si>
    <t>Erick Armando Hernández Becerra</t>
  </si>
  <si>
    <t>PUESTO</t>
  </si>
  <si>
    <t>NOMBRE</t>
  </si>
  <si>
    <t>AREA</t>
  </si>
  <si>
    <t>FOTO</t>
  </si>
  <si>
    <t>DESCRIPCION</t>
  </si>
  <si>
    <t>CORREO</t>
  </si>
  <si>
    <t>TELEFONO</t>
  </si>
  <si>
    <t>ACTIVOS</t>
  </si>
  <si>
    <t>DIRECCION</t>
  </si>
  <si>
    <t>BBVA</t>
  </si>
  <si>
    <t>GERENTE BBVA</t>
  </si>
  <si>
    <t>Adrian Evangelista Valencia</t>
  </si>
  <si>
    <t>COORDINADOR OPERACIONES EFI</t>
  </si>
  <si>
    <t>Gabriel Fuentes Arreazola</t>
  </si>
  <si>
    <t>COORDINADOR OPERACIONES CONSUMO</t>
  </si>
  <si>
    <t>Carlos Garcia Tapia</t>
  </si>
  <si>
    <t>Julio Cesar Cruz Herrera</t>
  </si>
  <si>
    <t>COORDINADOR OPERACIONES OPEN MARKET</t>
  </si>
  <si>
    <t>Elizabeth Medina Juarez</t>
  </si>
  <si>
    <t>COORDINADOR CALIDAD</t>
  </si>
  <si>
    <t>Oscar Ricardo Tello de la Cruz</t>
  </si>
  <si>
    <t>COORDINADOR WFM</t>
  </si>
  <si>
    <t>SUPERVISOR CALIDAD</t>
  </si>
  <si>
    <t>Jacob Martin Escobar</t>
  </si>
  <si>
    <t>Ricardo Hernandez Piña</t>
  </si>
  <si>
    <t>GERENTE UNICEF</t>
  </si>
  <si>
    <t>UNICEF</t>
  </si>
  <si>
    <t>María Guadalupe Garcia Martinez</t>
  </si>
  <si>
    <t>WELCOME</t>
  </si>
  <si>
    <t>GERENTE WELCOME</t>
  </si>
  <si>
    <t>Dulce Guzman Hernandez</t>
  </si>
  <si>
    <t>GERENTE DE CAPITAL HUMANO</t>
  </si>
  <si>
    <t>CAPITAL HUMANO</t>
  </si>
  <si>
    <t>Giovanni Díaz Martinez</t>
  </si>
  <si>
    <t>COORDINADOR DE ATRACCION DE TALENTO</t>
  </si>
  <si>
    <t>Sandra Ivonne Perez Piña</t>
  </si>
  <si>
    <t>COORDINADOR DE RELACIONES LABORALES</t>
  </si>
  <si>
    <t>RRLL</t>
  </si>
  <si>
    <t>MAYRA GISELA LARA REYES</t>
  </si>
  <si>
    <t>ANALISTA RRLL</t>
  </si>
  <si>
    <t>Auxiliar Juridico RRLL</t>
  </si>
  <si>
    <t>-</t>
  </si>
  <si>
    <t>Victoria Bonilla Revuelta</t>
  </si>
  <si>
    <t>SUPERVISOR DE FORMACION</t>
  </si>
  <si>
    <t>FORMACION</t>
  </si>
  <si>
    <t>Nancy Fernández Islas</t>
  </si>
  <si>
    <t>BIENESTAR LABORAL</t>
  </si>
  <si>
    <t>ENFERMERA</t>
  </si>
  <si>
    <t>GESTOR DE USUARIOS</t>
  </si>
  <si>
    <t>ANALISTA DE COMUNICACIÓN INTERNA</t>
  </si>
  <si>
    <t>Juan José Pelaez Pérez</t>
  </si>
  <si>
    <t>GERENCIA ADMINISTRATIVA</t>
  </si>
  <si>
    <t>ADMINISTRACION</t>
  </si>
  <si>
    <t>Juan Carlos Lazaro Lima</t>
  </si>
  <si>
    <t>SEGURIDAD FISICA</t>
  </si>
  <si>
    <t>Juan Pablo Moreno Alva</t>
  </si>
  <si>
    <t>FACILITIES</t>
  </si>
  <si>
    <t>Ismael Villafaña Villareal</t>
  </si>
  <si>
    <t>PROTECCION CIVIL</t>
  </si>
  <si>
    <t>José Marcos Martinez Topete</t>
  </si>
  <si>
    <t>Gerente de Enlace Tecnologico</t>
  </si>
  <si>
    <t>TECNOLOGIA</t>
  </si>
  <si>
    <t>Gerente de Ciberseguridad</t>
  </si>
  <si>
    <t>Gerardo Jesús Flores Gómez</t>
  </si>
  <si>
    <t>Gladys Carolina Medina Aguilar</t>
  </si>
  <si>
    <t>Documentador</t>
  </si>
  <si>
    <t>Analista de Seguridad Informatica</t>
  </si>
  <si>
    <t>Ingeniero de Seguridad</t>
  </si>
  <si>
    <t>David Omar Hernández Corona</t>
  </si>
  <si>
    <t>Gerente de desarrollo</t>
  </si>
  <si>
    <t>IDS</t>
  </si>
  <si>
    <t>UX/UI Designer</t>
  </si>
  <si>
    <t>ESPECIALISTA DEVSCOPS</t>
  </si>
  <si>
    <t>Ines Marlen Jaramillo Rosas</t>
  </si>
  <si>
    <t>DATA SCIENTIST</t>
  </si>
  <si>
    <t>David Morales Carrillo</t>
  </si>
  <si>
    <t>DESARROLLADOR SENIOR</t>
  </si>
  <si>
    <t>Eloy Rivera Soriano</t>
  </si>
  <si>
    <t>ADMINISTRADOR DE BASE DE DATOS</t>
  </si>
  <si>
    <t>Karla Andrea Garcia Gómez</t>
  </si>
  <si>
    <t>QA ENGINNER</t>
  </si>
  <si>
    <t>Ricardo Lopez Candia</t>
  </si>
  <si>
    <t>SUBDIRECTOR DE FINANZAS</t>
  </si>
  <si>
    <t>FINANZAS</t>
  </si>
  <si>
    <t>Coordinador Nomina</t>
  </si>
  <si>
    <t>Auxiliar de Nomina</t>
  </si>
  <si>
    <t>Analista de Nomina</t>
  </si>
  <si>
    <t>Rubén Ernesto Flores Acuña</t>
  </si>
  <si>
    <t>CONTADOR A</t>
  </si>
  <si>
    <t>CONTADOR B</t>
  </si>
  <si>
    <t>Gerardo López Laguna</t>
  </si>
  <si>
    <t>DATOS COMPLETOS:</t>
  </si>
  <si>
    <t>AUXILIAR DE COMPRAS</t>
  </si>
  <si>
    <t>Brayan Ricardo Manriquez Raya</t>
  </si>
  <si>
    <t>ANALISTA DE CONCIENCIACIÓN Y  CAPACITACION</t>
  </si>
  <si>
    <t>Juan Jose Flores Garcia</t>
  </si>
  <si>
    <t>Samantha Ximena Sanchez Gomez</t>
  </si>
  <si>
    <t>Comentarios</t>
  </si>
  <si>
    <t>Se agrega telefono</t>
  </si>
  <si>
    <t>Cynthia Lizbeth Hernández Dircio</t>
  </si>
  <si>
    <t>COORDINADOR DE DESARROLLO ORGANIZACIONAL</t>
  </si>
  <si>
    <t>Ya tenia foto cargada, se agrega funciones, contactos.</t>
  </si>
  <si>
    <t>se repila funciones, contacto y correo.</t>
  </si>
  <si>
    <t>Marco Antonio Vidal Duarte</t>
  </si>
  <si>
    <t>Se agrega funciones, correo, foto y telefono</t>
  </si>
  <si>
    <t>Se agrega correo y telefono</t>
  </si>
  <si>
    <t>Se agregan correo y telefono</t>
  </si>
  <si>
    <t>Ya tenia foto cargada, correo y telefono</t>
  </si>
  <si>
    <t>Este perfil no se tiene mapeado</t>
  </si>
  <si>
    <t>SEGURIDAD DE LA INFORMACIÓN</t>
  </si>
  <si>
    <t>NA</t>
  </si>
  <si>
    <t>Baja, la vacante no se repuso.</t>
  </si>
  <si>
    <t>se agrega tefono, foto y correo</t>
  </si>
  <si>
    <t>No existe puesto y/o posición</t>
  </si>
  <si>
    <t>Se agrega telefono y correo. Pendiente foto</t>
  </si>
  <si>
    <t>se agrega  foto, tefono y correo.</t>
  </si>
  <si>
    <t>se agrega tefono y correo. Foto pendiente</t>
  </si>
  <si>
    <t>Maria Luisa Gonzalez Ramos</t>
  </si>
  <si>
    <t>Ana Karen Lopez Santiago</t>
  </si>
  <si>
    <t xml:space="preserve">Se agrega correo  </t>
  </si>
  <si>
    <t>Se agrega telefono y foto</t>
  </si>
  <si>
    <t>Se agrega foto, telefono y correo</t>
  </si>
  <si>
    <t>Se agrega telefono, pendiente foto</t>
  </si>
  <si>
    <t>Se agrega correo y telefono, pendiente fotografia</t>
  </si>
  <si>
    <t>Se agrega función, correo y foto</t>
  </si>
  <si>
    <t>Se agrega correo, telefono y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</si>
</sst>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1" fillId="2" borderId="0" xfId="0" applyFont="1" applyFill="1"/>
    <xf numFmtId="10" fontId="2" fillId="0" borderId="0" xfId="0" applyNumberFormat="1" applyFont="1"/>
    <xf numFmtId="0" fontId="0" fillId="3" borderId="10" xfId="0" applyFill="1" applyBorder="1"/>
    <xf numFmtId="0" fontId="0" fillId="4" borderId="10" xfId="0" applyFill="1" applyBorder="1"/>
    <xf numFmtId="0" fontId="0" fillId="5" borderId="10" xfId="0" applyFill="1" applyBorder="1"/>
    <xf numFmtId="0" fontId="0" fillId="6" borderId="10" xfId="0" applyFill="1" applyBorder="1"/>
  </cellXfs>
  <cellStyles count="1">
    <cellStyle name="Normal" xfId="0" builtinId="0"/>
  </cellStyles>
  <dxfs count="2">
    <dxf>
      <font>
        <color rgb="FFC00000"/>
      </font>
      <fill>
        <patternFill>
          <bgColor rgb="FFE16565"/>
        </patternFill>
      </fill>
    </dxf>
    <dxf>
      <font>
        <color theme="9" tint="-0.499984740745262"/>
      </font>
      <fill>
        <patternFill>
          <bgColor rgb="FF7CDE83"/>
        </patternFill>
      </fill>
    </dxf>
  </dxfs>
  <tableStyles count="0" defaultTableStyle="TableStyleMedium2" defaultPivotStyle="PivotStyleLight16"/>
  <colors>
    <mruColors>
      <color rgb="FFE16565"/>
      <color rgb="FF7CDE83"/>
      <color rgb="FFE87272"/>
      <color rgb="FFF0A2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5353-00F8-4726-82E5-39948D2DB409}">
  <dimension ref="A3:L47"/>
  <sheetViews>
    <sheetView showGridLines="0" tabSelected="1" topLeftCell="B15" workbookViewId="0">
      <selection activeCell="D34" sqref="D34"/>
    </sheetView>
  </sheetViews>
  <sheetFormatPr baseColWidth="10" defaultRowHeight="15" x14ac:dyDescent="0.25"/>
  <cols>
    <col min="2" max="2" width="17.7109375" bestFit="1" customWidth="1"/>
    <col min="3" max="3" width="42" bestFit="1" customWidth="1"/>
    <col min="4" max="4" width="38.140625" customWidth="1"/>
    <col min="5" max="5" width="12.42578125" bestFit="1" customWidth="1"/>
    <col min="6" max="6" width="5.42578125" bestFit="1" customWidth="1"/>
    <col min="7" max="7" width="8" bestFit="1" customWidth="1"/>
    <col min="8" max="8" width="9.5703125" bestFit="1" customWidth="1"/>
    <col min="9" max="9" width="8" hidden="1" customWidth="1"/>
    <col min="10" max="10" width="32.28515625" bestFit="1" customWidth="1"/>
    <col min="11" max="11" width="17.85546875" bestFit="1" customWidth="1"/>
  </cols>
  <sheetData>
    <row r="3" spans="2:12" ht="15.75" x14ac:dyDescent="0.25">
      <c r="B3" s="11" t="s">
        <v>4</v>
      </c>
      <c r="C3" s="11" t="s">
        <v>2</v>
      </c>
      <c r="D3" s="11" t="s">
        <v>3</v>
      </c>
      <c r="E3" s="11" t="s">
        <v>6</v>
      </c>
      <c r="F3" s="11" t="s">
        <v>5</v>
      </c>
      <c r="G3" s="11" t="s">
        <v>7</v>
      </c>
      <c r="H3" s="11" t="s">
        <v>8</v>
      </c>
      <c r="I3" s="11" t="s">
        <v>9</v>
      </c>
      <c r="J3" s="11" t="s">
        <v>99</v>
      </c>
      <c r="K3" s="11" t="s">
        <v>93</v>
      </c>
      <c r="L3" s="12">
        <f>SUM($E$4:$I$47)/COUNTA($E$4:$I$47)</f>
        <v>0.75</v>
      </c>
    </row>
    <row r="4" spans="2:12" x14ac:dyDescent="0.25">
      <c r="B4" s="10" t="s">
        <v>10</v>
      </c>
      <c r="C4" s="10" t="s">
        <v>0</v>
      </c>
      <c r="D4" s="10" t="s">
        <v>1</v>
      </c>
      <c r="E4" s="1">
        <v>1</v>
      </c>
      <c r="F4" s="2">
        <v>1</v>
      </c>
      <c r="G4" s="2">
        <v>1</v>
      </c>
      <c r="H4" s="2">
        <v>1</v>
      </c>
      <c r="I4" s="3">
        <v>1</v>
      </c>
    </row>
    <row r="5" spans="2:12" x14ac:dyDescent="0.25">
      <c r="B5" s="10" t="s">
        <v>11</v>
      </c>
      <c r="C5" s="10" t="s">
        <v>12</v>
      </c>
      <c r="D5" s="10" t="s">
        <v>13</v>
      </c>
      <c r="E5" s="4">
        <v>1</v>
      </c>
      <c r="F5" s="5">
        <v>1</v>
      </c>
      <c r="G5" s="5">
        <v>1</v>
      </c>
      <c r="H5" s="5">
        <v>1</v>
      </c>
      <c r="I5" s="6">
        <v>1</v>
      </c>
    </row>
    <row r="6" spans="2:12" x14ac:dyDescent="0.25">
      <c r="B6" s="10" t="s">
        <v>11</v>
      </c>
      <c r="C6" s="10" t="s">
        <v>14</v>
      </c>
      <c r="D6" s="10" t="s">
        <v>15</v>
      </c>
      <c r="E6" s="4">
        <v>1</v>
      </c>
      <c r="F6" s="5">
        <v>1</v>
      </c>
      <c r="G6" s="5">
        <v>1</v>
      </c>
      <c r="H6" s="5">
        <v>1</v>
      </c>
      <c r="I6" s="6">
        <v>1</v>
      </c>
    </row>
    <row r="7" spans="2:12" x14ac:dyDescent="0.25">
      <c r="B7" s="10" t="s">
        <v>11</v>
      </c>
      <c r="C7" s="10" t="s">
        <v>16</v>
      </c>
      <c r="D7" s="10" t="s">
        <v>17</v>
      </c>
      <c r="E7" s="4">
        <v>1</v>
      </c>
      <c r="F7" s="5">
        <v>1</v>
      </c>
      <c r="G7" s="5">
        <v>1</v>
      </c>
      <c r="H7" s="5">
        <v>1</v>
      </c>
      <c r="I7" s="6">
        <v>1</v>
      </c>
    </row>
    <row r="8" spans="2:12" x14ac:dyDescent="0.25">
      <c r="B8" s="10" t="s">
        <v>11</v>
      </c>
      <c r="C8" s="10" t="s">
        <v>19</v>
      </c>
      <c r="D8" s="10" t="s">
        <v>18</v>
      </c>
      <c r="E8" s="4">
        <v>1</v>
      </c>
      <c r="F8" s="5">
        <v>1</v>
      </c>
      <c r="G8" s="5">
        <v>1</v>
      </c>
      <c r="H8" s="5">
        <v>1</v>
      </c>
      <c r="I8" s="6">
        <v>1</v>
      </c>
    </row>
    <row r="9" spans="2:12" x14ac:dyDescent="0.25">
      <c r="B9" s="10" t="s">
        <v>11</v>
      </c>
      <c r="C9" s="10" t="s">
        <v>21</v>
      </c>
      <c r="D9" s="10" t="s">
        <v>20</v>
      </c>
      <c r="E9" s="4">
        <v>1</v>
      </c>
      <c r="F9" s="5">
        <v>1</v>
      </c>
      <c r="G9" s="5">
        <v>1</v>
      </c>
      <c r="H9" s="5">
        <v>1</v>
      </c>
      <c r="I9" s="6">
        <v>1</v>
      </c>
    </row>
    <row r="10" spans="2:12" x14ac:dyDescent="0.25">
      <c r="B10" s="10" t="s">
        <v>11</v>
      </c>
      <c r="C10" s="10" t="s">
        <v>24</v>
      </c>
      <c r="D10" s="10" t="s">
        <v>25</v>
      </c>
      <c r="E10" s="4">
        <v>1</v>
      </c>
      <c r="F10" s="5">
        <v>1</v>
      </c>
      <c r="G10" s="5">
        <v>1</v>
      </c>
      <c r="H10" s="5">
        <v>1</v>
      </c>
      <c r="I10" s="6">
        <v>1</v>
      </c>
    </row>
    <row r="11" spans="2:12" x14ac:dyDescent="0.25">
      <c r="B11" s="10" t="s">
        <v>11</v>
      </c>
      <c r="C11" s="10" t="s">
        <v>23</v>
      </c>
      <c r="D11" s="10" t="s">
        <v>22</v>
      </c>
      <c r="E11" s="4">
        <v>1</v>
      </c>
      <c r="F11" s="5">
        <v>1</v>
      </c>
      <c r="G11" s="5">
        <v>1</v>
      </c>
      <c r="H11" s="5">
        <v>1</v>
      </c>
      <c r="I11" s="6">
        <v>1</v>
      </c>
    </row>
    <row r="12" spans="2:12" x14ac:dyDescent="0.25">
      <c r="B12" s="10" t="s">
        <v>28</v>
      </c>
      <c r="C12" s="10" t="s">
        <v>27</v>
      </c>
      <c r="D12" s="13" t="s">
        <v>26</v>
      </c>
      <c r="E12" s="4">
        <v>1</v>
      </c>
      <c r="F12" s="5">
        <v>0</v>
      </c>
      <c r="G12" s="5">
        <v>1</v>
      </c>
      <c r="H12" s="5">
        <v>1</v>
      </c>
      <c r="I12" s="6">
        <v>1</v>
      </c>
      <c r="J12" t="s">
        <v>124</v>
      </c>
    </row>
    <row r="13" spans="2:12" x14ac:dyDescent="0.25">
      <c r="B13" s="10" t="s">
        <v>30</v>
      </c>
      <c r="C13" s="10" t="s">
        <v>31</v>
      </c>
      <c r="D13" s="10" t="s">
        <v>29</v>
      </c>
      <c r="E13" s="4">
        <v>1</v>
      </c>
      <c r="F13" s="5">
        <v>1</v>
      </c>
      <c r="G13" s="5">
        <v>1</v>
      </c>
      <c r="H13" s="5">
        <v>1</v>
      </c>
      <c r="I13" s="6">
        <v>1</v>
      </c>
    </row>
    <row r="14" spans="2:12" x14ac:dyDescent="0.25">
      <c r="B14" s="10" t="s">
        <v>34</v>
      </c>
      <c r="C14" s="10" t="s">
        <v>33</v>
      </c>
      <c r="D14" s="14" t="s">
        <v>32</v>
      </c>
      <c r="E14" s="4">
        <v>1</v>
      </c>
      <c r="F14" s="5">
        <v>1</v>
      </c>
      <c r="G14" s="5">
        <v>1</v>
      </c>
      <c r="H14" s="5">
        <v>1</v>
      </c>
      <c r="I14" s="6">
        <v>1</v>
      </c>
      <c r="J14" t="s">
        <v>100</v>
      </c>
    </row>
    <row r="15" spans="2:12" x14ac:dyDescent="0.25">
      <c r="B15" s="10" t="s">
        <v>34</v>
      </c>
      <c r="C15" s="10" t="s">
        <v>36</v>
      </c>
      <c r="D15" s="14" t="s">
        <v>35</v>
      </c>
      <c r="E15" s="4">
        <v>1</v>
      </c>
      <c r="F15" s="5">
        <v>0</v>
      </c>
      <c r="G15" s="5">
        <v>1</v>
      </c>
      <c r="H15" s="5">
        <v>1</v>
      </c>
      <c r="I15" s="6">
        <v>1</v>
      </c>
      <c r="J15" t="s">
        <v>122</v>
      </c>
    </row>
    <row r="16" spans="2:12" x14ac:dyDescent="0.25">
      <c r="B16" s="10" t="s">
        <v>39</v>
      </c>
      <c r="C16" s="10" t="s">
        <v>38</v>
      </c>
      <c r="D16" s="14" t="s">
        <v>37</v>
      </c>
      <c r="E16" s="4">
        <v>1</v>
      </c>
      <c r="F16" s="5">
        <v>1</v>
      </c>
      <c r="G16" s="5">
        <v>1</v>
      </c>
      <c r="H16" s="5">
        <v>1</v>
      </c>
      <c r="I16" s="6">
        <v>1</v>
      </c>
      <c r="J16" t="s">
        <v>100</v>
      </c>
    </row>
    <row r="17" spans="2:10" x14ac:dyDescent="0.25">
      <c r="B17" s="10" t="s">
        <v>39</v>
      </c>
      <c r="C17" s="10" t="s">
        <v>41</v>
      </c>
      <c r="D17" s="14" t="s">
        <v>40</v>
      </c>
      <c r="E17" s="4">
        <v>1</v>
      </c>
      <c r="F17" s="5">
        <v>1</v>
      </c>
      <c r="G17" s="5">
        <v>1</v>
      </c>
      <c r="H17" s="5">
        <v>1</v>
      </c>
      <c r="I17" s="6">
        <v>0</v>
      </c>
      <c r="J17" t="s">
        <v>104</v>
      </c>
    </row>
    <row r="18" spans="2:10" x14ac:dyDescent="0.25">
      <c r="B18" s="10" t="s">
        <v>39</v>
      </c>
      <c r="C18" s="10" t="s">
        <v>42</v>
      </c>
      <c r="D18" s="15" t="s">
        <v>115</v>
      </c>
      <c r="E18" s="4">
        <v>0</v>
      </c>
      <c r="F18" s="5">
        <v>0</v>
      </c>
      <c r="G18" s="5">
        <v>0</v>
      </c>
      <c r="H18" s="5">
        <v>0</v>
      </c>
      <c r="I18" s="6">
        <v>0</v>
      </c>
    </row>
    <row r="19" spans="2:10" x14ac:dyDescent="0.25">
      <c r="B19" s="10" t="s">
        <v>46</v>
      </c>
      <c r="C19" s="10" t="s">
        <v>45</v>
      </c>
      <c r="D19" s="14" t="s">
        <v>44</v>
      </c>
      <c r="E19" s="4">
        <v>1</v>
      </c>
      <c r="F19" s="5">
        <v>1</v>
      </c>
      <c r="G19" s="5">
        <v>1</v>
      </c>
      <c r="H19" s="5">
        <v>1</v>
      </c>
      <c r="I19" s="6">
        <v>1</v>
      </c>
      <c r="J19" t="s">
        <v>122</v>
      </c>
    </row>
    <row r="20" spans="2:10" x14ac:dyDescent="0.25">
      <c r="B20" s="10" t="s">
        <v>48</v>
      </c>
      <c r="C20" s="10" t="s">
        <v>102</v>
      </c>
      <c r="D20" s="14" t="s">
        <v>47</v>
      </c>
      <c r="E20" s="4">
        <v>1</v>
      </c>
      <c r="F20" s="5">
        <v>1</v>
      </c>
      <c r="G20" s="5">
        <v>1</v>
      </c>
      <c r="H20" s="5">
        <v>1</v>
      </c>
      <c r="I20" s="6">
        <v>1</v>
      </c>
      <c r="J20" t="s">
        <v>100</v>
      </c>
    </row>
    <row r="21" spans="2:10" x14ac:dyDescent="0.25">
      <c r="B21" s="10" t="s">
        <v>48</v>
      </c>
      <c r="C21" s="10" t="s">
        <v>49</v>
      </c>
      <c r="D21" s="14" t="s">
        <v>101</v>
      </c>
      <c r="E21" s="4">
        <v>1</v>
      </c>
      <c r="F21" s="5">
        <v>1</v>
      </c>
      <c r="G21" s="5">
        <v>1</v>
      </c>
      <c r="H21" s="5">
        <v>1</v>
      </c>
      <c r="I21" s="6">
        <v>0</v>
      </c>
      <c r="J21" t="s">
        <v>106</v>
      </c>
    </row>
    <row r="22" spans="2:10" x14ac:dyDescent="0.25">
      <c r="B22" s="10"/>
      <c r="C22" s="10" t="s">
        <v>50</v>
      </c>
      <c r="D22" s="13" t="s">
        <v>105</v>
      </c>
      <c r="E22" s="4">
        <v>1</v>
      </c>
      <c r="F22" s="5">
        <v>1</v>
      </c>
      <c r="G22" s="5">
        <v>1</v>
      </c>
      <c r="H22" s="5">
        <v>1</v>
      </c>
      <c r="I22" s="6">
        <v>0</v>
      </c>
      <c r="J22" t="s">
        <v>100</v>
      </c>
    </row>
    <row r="23" spans="2:10" x14ac:dyDescent="0.25">
      <c r="B23" s="10" t="s">
        <v>48</v>
      </c>
      <c r="C23" s="10" t="s">
        <v>51</v>
      </c>
      <c r="D23" s="14" t="s">
        <v>98</v>
      </c>
      <c r="E23" s="4">
        <v>1</v>
      </c>
      <c r="F23" s="5">
        <v>1</v>
      </c>
      <c r="G23" s="5">
        <v>1</v>
      </c>
      <c r="H23" s="5">
        <v>1</v>
      </c>
      <c r="I23" s="6">
        <v>0</v>
      </c>
      <c r="J23" t="s">
        <v>103</v>
      </c>
    </row>
    <row r="24" spans="2:10" x14ac:dyDescent="0.25">
      <c r="B24" s="10" t="s">
        <v>54</v>
      </c>
      <c r="C24" s="10" t="s">
        <v>53</v>
      </c>
      <c r="D24" s="14" t="s">
        <v>52</v>
      </c>
      <c r="E24" s="4">
        <v>1</v>
      </c>
      <c r="F24" s="5">
        <v>1</v>
      </c>
      <c r="G24" s="5">
        <v>1</v>
      </c>
      <c r="H24" s="5">
        <v>1</v>
      </c>
      <c r="I24" s="6">
        <v>1</v>
      </c>
      <c r="J24" t="s">
        <v>107</v>
      </c>
    </row>
    <row r="25" spans="2:10" x14ac:dyDescent="0.25">
      <c r="B25" s="10" t="s">
        <v>54</v>
      </c>
      <c r="C25" s="10" t="s">
        <v>56</v>
      </c>
      <c r="D25" s="14" t="s">
        <v>55</v>
      </c>
      <c r="E25" s="4">
        <v>1</v>
      </c>
      <c r="F25" s="5">
        <v>1</v>
      </c>
      <c r="G25" s="5">
        <v>1</v>
      </c>
      <c r="H25" s="5">
        <v>1</v>
      </c>
      <c r="I25" s="6">
        <v>0</v>
      </c>
      <c r="J25" t="s">
        <v>123</v>
      </c>
    </row>
    <row r="26" spans="2:10" x14ac:dyDescent="0.25">
      <c r="B26" s="10" t="s">
        <v>54</v>
      </c>
      <c r="C26" s="10" t="s">
        <v>58</v>
      </c>
      <c r="D26" s="14" t="s">
        <v>57</v>
      </c>
      <c r="E26" s="4">
        <v>1</v>
      </c>
      <c r="F26" s="5">
        <v>1</v>
      </c>
      <c r="G26" s="5">
        <v>1</v>
      </c>
      <c r="H26" s="5">
        <v>1</v>
      </c>
      <c r="I26" s="6">
        <v>0</v>
      </c>
      <c r="J26" t="s">
        <v>108</v>
      </c>
    </row>
    <row r="27" spans="2:10" x14ac:dyDescent="0.25">
      <c r="B27" s="10" t="s">
        <v>54</v>
      </c>
      <c r="C27" s="10" t="s">
        <v>60</v>
      </c>
      <c r="D27" s="14" t="s">
        <v>59</v>
      </c>
      <c r="E27" s="4">
        <v>1</v>
      </c>
      <c r="F27" s="5">
        <v>1</v>
      </c>
      <c r="G27" s="5">
        <v>1</v>
      </c>
      <c r="H27" s="5">
        <v>1</v>
      </c>
      <c r="I27" s="6">
        <v>0</v>
      </c>
      <c r="J27" t="s">
        <v>108</v>
      </c>
    </row>
    <row r="28" spans="2:10" x14ac:dyDescent="0.25">
      <c r="B28" s="10" t="s">
        <v>54</v>
      </c>
      <c r="C28" s="10" t="s">
        <v>94</v>
      </c>
      <c r="D28" s="14" t="s">
        <v>95</v>
      </c>
      <c r="E28" s="4">
        <v>1</v>
      </c>
      <c r="F28" s="5">
        <v>1</v>
      </c>
      <c r="G28" s="5">
        <v>1</v>
      </c>
      <c r="H28" s="5">
        <v>1</v>
      </c>
      <c r="I28" s="6">
        <v>0</v>
      </c>
      <c r="J28" t="s">
        <v>109</v>
      </c>
    </row>
    <row r="29" spans="2:10" x14ac:dyDescent="0.25">
      <c r="B29" s="10" t="s">
        <v>63</v>
      </c>
      <c r="C29" s="10" t="s">
        <v>62</v>
      </c>
      <c r="D29" s="14" t="s">
        <v>61</v>
      </c>
      <c r="E29" s="4">
        <v>1</v>
      </c>
      <c r="F29" s="5">
        <v>1</v>
      </c>
      <c r="G29" s="5">
        <v>1</v>
      </c>
      <c r="H29" s="5">
        <v>1</v>
      </c>
      <c r="I29" s="6">
        <v>1</v>
      </c>
      <c r="J29" t="s">
        <v>100</v>
      </c>
    </row>
    <row r="30" spans="2:10" x14ac:dyDescent="0.25">
      <c r="B30" s="10" t="s">
        <v>111</v>
      </c>
      <c r="C30" s="10" t="s">
        <v>64</v>
      </c>
      <c r="D30" s="14" t="s">
        <v>65</v>
      </c>
      <c r="E30" s="4">
        <v>1</v>
      </c>
      <c r="F30" s="5">
        <v>1</v>
      </c>
      <c r="G30" s="5">
        <v>1</v>
      </c>
      <c r="H30" s="5">
        <v>1</v>
      </c>
      <c r="I30" s="6">
        <v>1</v>
      </c>
      <c r="J30" t="s">
        <v>100</v>
      </c>
    </row>
    <row r="31" spans="2:10" x14ac:dyDescent="0.25">
      <c r="B31" s="10" t="s">
        <v>111</v>
      </c>
      <c r="C31" s="10" t="s">
        <v>67</v>
      </c>
      <c r="D31" s="14" t="s">
        <v>66</v>
      </c>
      <c r="E31" s="4">
        <v>1</v>
      </c>
      <c r="F31" s="5">
        <v>1</v>
      </c>
      <c r="G31" s="5">
        <v>1</v>
      </c>
      <c r="H31" s="5">
        <v>1</v>
      </c>
      <c r="I31" s="6">
        <v>0</v>
      </c>
      <c r="J31" t="s">
        <v>107</v>
      </c>
    </row>
    <row r="32" spans="2:10" x14ac:dyDescent="0.25">
      <c r="B32" s="10" t="s">
        <v>111</v>
      </c>
      <c r="C32" s="10" t="s">
        <v>68</v>
      </c>
      <c r="D32" s="15" t="s">
        <v>115</v>
      </c>
      <c r="E32" s="4">
        <v>0</v>
      </c>
      <c r="F32" s="5">
        <v>0</v>
      </c>
      <c r="G32" s="5">
        <v>0</v>
      </c>
      <c r="H32" s="5">
        <v>0</v>
      </c>
      <c r="I32" s="6">
        <v>0</v>
      </c>
      <c r="J32" t="s">
        <v>112</v>
      </c>
    </row>
    <row r="33" spans="1:10" x14ac:dyDescent="0.25">
      <c r="B33" s="10" t="s">
        <v>111</v>
      </c>
      <c r="C33" s="10" t="s">
        <v>69</v>
      </c>
      <c r="D33" s="15" t="s">
        <v>115</v>
      </c>
      <c r="E33" s="4">
        <v>0</v>
      </c>
      <c r="F33" s="5">
        <v>0</v>
      </c>
      <c r="G33" s="5">
        <v>0</v>
      </c>
      <c r="H33" s="5">
        <v>0</v>
      </c>
      <c r="I33" s="6">
        <v>0</v>
      </c>
      <c r="J33" t="s">
        <v>112</v>
      </c>
    </row>
    <row r="34" spans="1:10" x14ac:dyDescent="0.25">
      <c r="A34" t="s">
        <v>43</v>
      </c>
      <c r="B34" s="10" t="s">
        <v>111</v>
      </c>
      <c r="C34" s="10" t="s">
        <v>96</v>
      </c>
      <c r="D34" s="14" t="s">
        <v>97</v>
      </c>
      <c r="E34" s="4">
        <v>1</v>
      </c>
      <c r="F34" s="5">
        <v>1</v>
      </c>
      <c r="G34" s="5">
        <v>0</v>
      </c>
      <c r="H34" s="5">
        <v>0</v>
      </c>
      <c r="I34" s="6">
        <v>0</v>
      </c>
      <c r="J34" t="s">
        <v>107</v>
      </c>
    </row>
    <row r="35" spans="1:10" x14ac:dyDescent="0.25">
      <c r="B35" s="10" t="s">
        <v>72</v>
      </c>
      <c r="C35" s="10" t="s">
        <v>71</v>
      </c>
      <c r="D35" s="14" t="s">
        <v>70</v>
      </c>
      <c r="E35" s="4">
        <v>1</v>
      </c>
      <c r="F35" s="5">
        <v>1</v>
      </c>
      <c r="G35" s="5">
        <v>1</v>
      </c>
      <c r="H35" s="5">
        <v>1</v>
      </c>
      <c r="I35" s="6">
        <v>1</v>
      </c>
      <c r="J35" t="s">
        <v>100</v>
      </c>
    </row>
    <row r="36" spans="1:10" x14ac:dyDescent="0.25">
      <c r="B36" s="10" t="s">
        <v>72</v>
      </c>
      <c r="C36" s="10" t="s">
        <v>73</v>
      </c>
      <c r="D36" s="15" t="s">
        <v>115</v>
      </c>
      <c r="E36" s="4">
        <v>0</v>
      </c>
      <c r="F36" s="5">
        <v>0</v>
      </c>
      <c r="G36" s="5">
        <v>0</v>
      </c>
      <c r="H36" s="5">
        <v>0</v>
      </c>
      <c r="I36" s="6">
        <v>0</v>
      </c>
      <c r="J36" t="s">
        <v>110</v>
      </c>
    </row>
    <row r="37" spans="1:10" x14ac:dyDescent="0.25">
      <c r="B37" s="10" t="s">
        <v>72</v>
      </c>
      <c r="C37" s="10" t="s">
        <v>74</v>
      </c>
      <c r="D37" s="15" t="s">
        <v>113</v>
      </c>
      <c r="E37" s="4">
        <v>1</v>
      </c>
      <c r="F37" s="5">
        <v>0</v>
      </c>
      <c r="G37" s="5">
        <v>0</v>
      </c>
      <c r="H37" s="5">
        <v>0</v>
      </c>
      <c r="I37" s="6">
        <v>0</v>
      </c>
      <c r="J37" t="s">
        <v>112</v>
      </c>
    </row>
    <row r="38" spans="1:10" x14ac:dyDescent="0.25">
      <c r="B38" s="10" t="s">
        <v>72</v>
      </c>
      <c r="C38" s="10" t="s">
        <v>76</v>
      </c>
      <c r="D38" s="16" t="s">
        <v>75</v>
      </c>
      <c r="E38" s="4">
        <v>1</v>
      </c>
      <c r="F38" s="5">
        <v>1</v>
      </c>
      <c r="G38" s="5">
        <v>1</v>
      </c>
      <c r="H38" s="5">
        <v>1</v>
      </c>
      <c r="I38" s="6">
        <v>0</v>
      </c>
      <c r="J38" t="s">
        <v>116</v>
      </c>
    </row>
    <row r="39" spans="1:10" x14ac:dyDescent="0.25">
      <c r="B39" s="10" t="s">
        <v>72</v>
      </c>
      <c r="C39" s="10" t="s">
        <v>78</v>
      </c>
      <c r="D39" s="14" t="s">
        <v>77</v>
      </c>
      <c r="E39" s="4">
        <v>1</v>
      </c>
      <c r="F39" s="5">
        <v>1</v>
      </c>
      <c r="G39" s="5">
        <v>1</v>
      </c>
      <c r="H39" s="5">
        <v>1</v>
      </c>
      <c r="I39" s="6">
        <v>0</v>
      </c>
      <c r="J39" t="s">
        <v>114</v>
      </c>
    </row>
    <row r="40" spans="1:10" x14ac:dyDescent="0.25">
      <c r="B40" s="10" t="s">
        <v>72</v>
      </c>
      <c r="C40" s="10" t="s">
        <v>80</v>
      </c>
      <c r="D40" s="14" t="s">
        <v>79</v>
      </c>
      <c r="E40" s="4">
        <v>1</v>
      </c>
      <c r="F40" s="5">
        <v>1</v>
      </c>
      <c r="G40" s="5">
        <v>1</v>
      </c>
      <c r="H40" s="5">
        <v>1</v>
      </c>
      <c r="I40" s="6">
        <v>0</v>
      </c>
      <c r="J40" t="s">
        <v>117</v>
      </c>
    </row>
    <row r="41" spans="1:10" x14ac:dyDescent="0.25">
      <c r="B41" s="10" t="s">
        <v>72</v>
      </c>
      <c r="C41" s="10" t="s">
        <v>82</v>
      </c>
      <c r="D41" s="16" t="s">
        <v>81</v>
      </c>
      <c r="E41" s="4">
        <v>1</v>
      </c>
      <c r="F41" s="5">
        <v>1</v>
      </c>
      <c r="G41" s="5">
        <v>1</v>
      </c>
      <c r="H41" s="5">
        <v>1</v>
      </c>
      <c r="I41" s="6">
        <v>0</v>
      </c>
      <c r="J41" t="s">
        <v>118</v>
      </c>
    </row>
    <row r="42" spans="1:10" x14ac:dyDescent="0.25">
      <c r="B42" s="10" t="s">
        <v>85</v>
      </c>
      <c r="C42" s="10" t="s">
        <v>84</v>
      </c>
      <c r="D42" s="16" t="s">
        <v>83</v>
      </c>
      <c r="E42" s="4">
        <v>1</v>
      </c>
      <c r="F42" s="5">
        <v>0</v>
      </c>
      <c r="G42" s="5">
        <v>1</v>
      </c>
      <c r="H42" s="5">
        <v>0</v>
      </c>
      <c r="I42" s="6">
        <v>0</v>
      </c>
      <c r="J42" t="s">
        <v>125</v>
      </c>
    </row>
    <row r="43" spans="1:10" x14ac:dyDescent="0.25">
      <c r="B43" s="10" t="s">
        <v>85</v>
      </c>
      <c r="C43" s="10" t="s">
        <v>86</v>
      </c>
      <c r="D43" s="15" t="s">
        <v>115</v>
      </c>
      <c r="E43" s="4">
        <v>0</v>
      </c>
      <c r="F43" s="5">
        <v>0</v>
      </c>
      <c r="G43" s="5">
        <v>0</v>
      </c>
      <c r="H43" s="5">
        <v>0</v>
      </c>
      <c r="I43" s="6">
        <v>0</v>
      </c>
      <c r="J43" t="s">
        <v>112</v>
      </c>
    </row>
    <row r="44" spans="1:10" x14ac:dyDescent="0.25">
      <c r="B44" s="10" t="s">
        <v>85</v>
      </c>
      <c r="C44" s="10" t="s">
        <v>87</v>
      </c>
      <c r="D44" s="14" t="s">
        <v>119</v>
      </c>
      <c r="E44" s="4">
        <v>1</v>
      </c>
      <c r="F44" s="5">
        <v>1</v>
      </c>
      <c r="G44" s="5">
        <v>1</v>
      </c>
      <c r="H44" s="5">
        <v>1</v>
      </c>
      <c r="I44" s="6">
        <v>0</v>
      </c>
      <c r="J44" t="s">
        <v>126</v>
      </c>
    </row>
    <row r="45" spans="1:10" x14ac:dyDescent="0.25">
      <c r="B45" s="10" t="s">
        <v>85</v>
      </c>
      <c r="C45" s="10" t="s">
        <v>88</v>
      </c>
      <c r="D45" s="14" t="s">
        <v>120</v>
      </c>
      <c r="E45" s="4">
        <v>1</v>
      </c>
      <c r="F45" s="5">
        <v>1</v>
      </c>
      <c r="G45" s="5">
        <v>1</v>
      </c>
      <c r="H45" s="5">
        <v>1</v>
      </c>
      <c r="I45" s="6">
        <v>0</v>
      </c>
      <c r="J45" t="s">
        <v>126</v>
      </c>
    </row>
    <row r="46" spans="1:10" x14ac:dyDescent="0.25">
      <c r="B46" s="10" t="s">
        <v>85</v>
      </c>
      <c r="C46" s="10" t="s">
        <v>90</v>
      </c>
      <c r="D46" s="14" t="s">
        <v>89</v>
      </c>
      <c r="E46" s="4">
        <v>1</v>
      </c>
      <c r="F46" s="5">
        <v>1</v>
      </c>
      <c r="G46" s="5">
        <v>1</v>
      </c>
      <c r="H46" s="5">
        <v>1</v>
      </c>
      <c r="I46" s="6">
        <v>0</v>
      </c>
      <c r="J46" t="s">
        <v>127</v>
      </c>
    </row>
    <row r="47" spans="1:10" x14ac:dyDescent="0.25">
      <c r="B47" s="10" t="s">
        <v>85</v>
      </c>
      <c r="C47" s="10" t="s">
        <v>91</v>
      </c>
      <c r="D47" s="16" t="s">
        <v>92</v>
      </c>
      <c r="E47" s="7">
        <v>1</v>
      </c>
      <c r="F47" s="8">
        <v>0</v>
      </c>
      <c r="G47" s="8">
        <v>1</v>
      </c>
      <c r="H47" s="8">
        <v>1</v>
      </c>
      <c r="I47" s="9">
        <v>0</v>
      </c>
      <c r="J47" t="s">
        <v>121</v>
      </c>
    </row>
  </sheetData>
  <conditionalFormatting sqref="E4:I47">
    <cfRule type="cellIs" dxfId="1" priority="3" operator="equal">
      <formula>1</formula>
    </cfRule>
    <cfRule type="cellIs" dxfId="0" priority="1" operator="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6" id="{A3902357-9F07-4024-8846-35659678C1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E25:E29</xm:sqref>
        </x14:conditionalFormatting>
        <x14:conditionalFormatting xmlns:xm="http://schemas.microsoft.com/office/excel/2006/main">
          <x14:cfRule type="iconSet" priority="65" id="{7C909379-7E51-4309-BD32-B3258CCB8F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E31</xm:sqref>
        </x14:conditionalFormatting>
        <x14:conditionalFormatting xmlns:xm="http://schemas.microsoft.com/office/excel/2006/main">
          <x14:cfRule type="iconSet" priority="41" id="{EDB21591-D96C-4829-B8D3-75990BC212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E37:E42</xm:sqref>
        </x14:conditionalFormatting>
        <x14:conditionalFormatting xmlns:xm="http://schemas.microsoft.com/office/excel/2006/main">
          <x14:cfRule type="iconSet" priority="11" id="{BD5999C3-4FDE-436D-AF75-F745B0F172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E46:E47</xm:sqref>
        </x14:conditionalFormatting>
        <x14:conditionalFormatting xmlns:xm="http://schemas.microsoft.com/office/excel/2006/main">
          <x14:cfRule type="iconSet" priority="50" id="{EA196ACF-E873-4DFA-A8DE-84E13562A2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E35:G35 I35</xm:sqref>
        </x14:conditionalFormatting>
        <x14:conditionalFormatting xmlns:xm="http://schemas.microsoft.com/office/excel/2006/main">
          <x14:cfRule type="iconSet" priority="143" id="{D120AFC8-E164-4627-A1B5-5664CC541A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E4:I4</xm:sqref>
        </x14:conditionalFormatting>
        <x14:conditionalFormatting xmlns:xm="http://schemas.microsoft.com/office/excel/2006/main">
          <x14:cfRule type="iconSet" priority="140" id="{D8934D38-1DFC-4510-BA59-DCA06DFD4C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E5:I5</xm:sqref>
        </x14:conditionalFormatting>
        <x14:conditionalFormatting xmlns:xm="http://schemas.microsoft.com/office/excel/2006/main">
          <x14:cfRule type="iconSet" priority="137" id="{7AB815B9-3CF3-4AC9-9FCF-8D22B1101A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E6:I6</xm:sqref>
        </x14:conditionalFormatting>
        <x14:conditionalFormatting xmlns:xm="http://schemas.microsoft.com/office/excel/2006/main">
          <x14:cfRule type="iconSet" priority="134" id="{2CE2126B-BE0F-4094-9E2F-A2252E9154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E7:I7</xm:sqref>
        </x14:conditionalFormatting>
        <x14:conditionalFormatting xmlns:xm="http://schemas.microsoft.com/office/excel/2006/main">
          <x14:cfRule type="iconSet" priority="131" id="{D14174FD-5A97-4D26-8AEF-122A4A0236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E8:I8</xm:sqref>
        </x14:conditionalFormatting>
        <x14:conditionalFormatting xmlns:xm="http://schemas.microsoft.com/office/excel/2006/main">
          <x14:cfRule type="iconSet" priority="128" id="{777D883F-90EE-45BB-88A7-8F2B03E23C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E9:I11</xm:sqref>
        </x14:conditionalFormatting>
        <x14:conditionalFormatting xmlns:xm="http://schemas.microsoft.com/office/excel/2006/main">
          <x14:cfRule type="iconSet" priority="125" id="{BAAA93E7-1475-4CD8-BC8E-B2D67410AB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E12:I12</xm:sqref>
        </x14:conditionalFormatting>
        <x14:conditionalFormatting xmlns:xm="http://schemas.microsoft.com/office/excel/2006/main">
          <x14:cfRule type="iconSet" priority="122" id="{0A7DC961-C5D2-4E3D-8365-C21CC25C35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E13:I13</xm:sqref>
        </x14:conditionalFormatting>
        <x14:conditionalFormatting xmlns:xm="http://schemas.microsoft.com/office/excel/2006/main">
          <x14:cfRule type="iconSet" priority="119" id="{5076B017-ED20-459A-9A5D-A721DD4B2C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E14:I14</xm:sqref>
        </x14:conditionalFormatting>
        <x14:conditionalFormatting xmlns:xm="http://schemas.microsoft.com/office/excel/2006/main">
          <x14:cfRule type="iconSet" priority="116" id="{601181E4-5E1D-4B2D-BC50-124A548A17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E15:I15</xm:sqref>
        </x14:conditionalFormatting>
        <x14:conditionalFormatting xmlns:xm="http://schemas.microsoft.com/office/excel/2006/main">
          <x14:cfRule type="iconSet" priority="113" id="{E95A48C1-BABD-4206-9B49-409A016E3F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E16:I16</xm:sqref>
        </x14:conditionalFormatting>
        <x14:conditionalFormatting xmlns:xm="http://schemas.microsoft.com/office/excel/2006/main">
          <x14:cfRule type="iconSet" priority="110" id="{0F55AE24-457F-4F0B-A37C-B33F81EC97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E17:I17</xm:sqref>
        </x14:conditionalFormatting>
        <x14:conditionalFormatting xmlns:xm="http://schemas.microsoft.com/office/excel/2006/main">
          <x14:cfRule type="iconSet" priority="107" id="{FEB6D754-AFCE-4F2B-B95D-68998C22AA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E18:I18</xm:sqref>
        </x14:conditionalFormatting>
        <x14:conditionalFormatting xmlns:xm="http://schemas.microsoft.com/office/excel/2006/main">
          <x14:cfRule type="iconSet" priority="104" id="{3E89B0AC-3E36-46E3-B94E-67FBD89A60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E19:I19</xm:sqref>
        </x14:conditionalFormatting>
        <x14:conditionalFormatting xmlns:xm="http://schemas.microsoft.com/office/excel/2006/main">
          <x14:cfRule type="iconSet" priority="101" id="{87C0CB86-0C36-451F-A1EE-DED73A0DEA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E20:I20</xm:sqref>
        </x14:conditionalFormatting>
        <x14:conditionalFormatting xmlns:xm="http://schemas.microsoft.com/office/excel/2006/main">
          <x14:cfRule type="iconSet" priority="98" id="{3BA381A0-F73B-415F-9A44-B120BD66B1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E21:I21</xm:sqref>
        </x14:conditionalFormatting>
        <x14:conditionalFormatting xmlns:xm="http://schemas.microsoft.com/office/excel/2006/main">
          <x14:cfRule type="iconSet" priority="95" id="{D4776FE7-4C04-4346-9133-8B484F443A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E22:I22</xm:sqref>
        </x14:conditionalFormatting>
        <x14:conditionalFormatting xmlns:xm="http://schemas.microsoft.com/office/excel/2006/main">
          <x14:cfRule type="iconSet" priority="92" id="{D1434888-F1E8-486B-AE94-A025033251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E23:I23</xm:sqref>
        </x14:conditionalFormatting>
        <x14:conditionalFormatting xmlns:xm="http://schemas.microsoft.com/office/excel/2006/main">
          <x14:cfRule type="iconSet" priority="89" id="{DA51D9E2-3E0D-43A0-A80E-FBD8026BF15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E24:I24</xm:sqref>
        </x14:conditionalFormatting>
        <x14:conditionalFormatting xmlns:xm="http://schemas.microsoft.com/office/excel/2006/main">
          <x14:cfRule type="iconSet" priority="68" id="{3AE5D804-5D4F-434E-82FB-3B7A06144E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E30:I30</xm:sqref>
        </x14:conditionalFormatting>
        <x14:conditionalFormatting xmlns:xm="http://schemas.microsoft.com/office/excel/2006/main">
          <x14:cfRule type="iconSet" priority="56" id="{B848D935-BD51-460E-B4BF-ACDC64515E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E32:I32</xm:sqref>
        </x14:conditionalFormatting>
        <x14:conditionalFormatting xmlns:xm="http://schemas.microsoft.com/office/excel/2006/main">
          <x14:cfRule type="iconSet" priority="53" id="{2EF1EC34-052E-43E2-BF1D-1B268DF2CE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E33:I34</xm:sqref>
        </x14:conditionalFormatting>
        <x14:conditionalFormatting xmlns:xm="http://schemas.microsoft.com/office/excel/2006/main">
          <x14:cfRule type="iconSet" priority="44" id="{FA141B5D-8FC9-41D0-BC29-608E10CFFD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E36:I36</xm:sqref>
        </x14:conditionalFormatting>
        <x14:conditionalFormatting xmlns:xm="http://schemas.microsoft.com/office/excel/2006/main">
          <x14:cfRule type="iconSet" priority="17" id="{FB466D7C-CFEF-4DBA-AA65-577975AE73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E43:I43</xm:sqref>
        </x14:conditionalFormatting>
        <x14:conditionalFormatting xmlns:xm="http://schemas.microsoft.com/office/excel/2006/main">
          <x14:cfRule type="iconSet" priority="14" id="{2E27BF9C-6EA4-49E0-AE5D-4F970A295D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E44:I45</xm:sqref>
        </x14:conditionalFormatting>
        <x14:conditionalFormatting xmlns:xm="http://schemas.microsoft.com/office/excel/2006/main">
          <x14:cfRule type="iconSet" priority="83" id="{03CFD94F-7D93-4191-8D61-B9E715FECC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F25</xm:sqref>
        </x14:conditionalFormatting>
        <x14:conditionalFormatting xmlns:xm="http://schemas.microsoft.com/office/excel/2006/main">
          <x14:cfRule type="iconSet" priority="71" id="{4CF51AA1-259E-4A71-8472-CF3089E2A8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F26:F29</xm:sqref>
        </x14:conditionalFormatting>
        <x14:conditionalFormatting xmlns:xm="http://schemas.microsoft.com/office/excel/2006/main">
          <x14:cfRule type="iconSet" priority="62" id="{B459F99B-3D86-4686-B730-D3B93A83A0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F31</xm:sqref>
        </x14:conditionalFormatting>
        <x14:conditionalFormatting xmlns:xm="http://schemas.microsoft.com/office/excel/2006/main">
          <x14:cfRule type="iconSet" priority="38" id="{9230C2AC-A3B4-4973-94D1-C94354442C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F37:F42</xm:sqref>
        </x14:conditionalFormatting>
        <x14:conditionalFormatting xmlns:xm="http://schemas.microsoft.com/office/excel/2006/main">
          <x14:cfRule type="iconSet" priority="8" id="{B052C85B-D028-4171-8580-3BFB839F71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F46:F47</xm:sqref>
        </x14:conditionalFormatting>
        <x14:conditionalFormatting xmlns:xm="http://schemas.microsoft.com/office/excel/2006/main">
          <x14:cfRule type="iconSet" priority="80" id="{18D59BC0-2E19-41EE-9AC8-904988A4A7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G25:G29</xm:sqref>
        </x14:conditionalFormatting>
        <x14:conditionalFormatting xmlns:xm="http://schemas.microsoft.com/office/excel/2006/main">
          <x14:cfRule type="iconSet" priority="59" id="{35223109-6BC6-4E34-9C7C-0F299A114A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G31:I31</xm:sqref>
        </x14:conditionalFormatting>
        <x14:conditionalFormatting xmlns:xm="http://schemas.microsoft.com/office/excel/2006/main">
          <x14:cfRule type="iconSet" priority="35" id="{E6D7ACEA-DA98-4439-AA79-187ECA31BA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G37:I37</xm:sqref>
        </x14:conditionalFormatting>
        <x14:conditionalFormatting xmlns:xm="http://schemas.microsoft.com/office/excel/2006/main">
          <x14:cfRule type="iconSet" priority="32" id="{638D22B8-2C03-4BE9-B433-FF5F67A24B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G38:I38</xm:sqref>
        </x14:conditionalFormatting>
        <x14:conditionalFormatting xmlns:xm="http://schemas.microsoft.com/office/excel/2006/main">
          <x14:cfRule type="iconSet" priority="29" id="{95D54D69-B1A7-4BED-AFD9-FFB99738C5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G39:I39</xm:sqref>
        </x14:conditionalFormatting>
        <x14:conditionalFormatting xmlns:xm="http://schemas.microsoft.com/office/excel/2006/main">
          <x14:cfRule type="iconSet" priority="26" id="{A22EDB64-231F-479E-A228-3388A43035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G40:I40</xm:sqref>
        </x14:conditionalFormatting>
        <x14:conditionalFormatting xmlns:xm="http://schemas.microsoft.com/office/excel/2006/main">
          <x14:cfRule type="iconSet" priority="23" id="{8368D620-AD77-4309-8212-4CC0AAF6D1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G41:I41</xm:sqref>
        </x14:conditionalFormatting>
        <x14:conditionalFormatting xmlns:xm="http://schemas.microsoft.com/office/excel/2006/main">
          <x14:cfRule type="iconSet" priority="20" id="{99F2898F-2B88-44BE-9589-F63DCB9812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G42:I42</xm:sqref>
        </x14:conditionalFormatting>
        <x14:conditionalFormatting xmlns:xm="http://schemas.microsoft.com/office/excel/2006/main">
          <x14:cfRule type="iconSet" priority="5" id="{B0347E90-C5C7-4018-B002-E0015957D1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G46:I46</xm:sqref>
        </x14:conditionalFormatting>
        <x14:conditionalFormatting xmlns:xm="http://schemas.microsoft.com/office/excel/2006/main">
          <x14:cfRule type="iconSet" priority="2" id="{E63A7CCC-6B3A-4B1B-8C0D-E37D4EA70A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G47:I47</xm:sqref>
        </x14:conditionalFormatting>
        <x14:conditionalFormatting xmlns:xm="http://schemas.microsoft.com/office/excel/2006/main">
          <x14:cfRule type="iconSet" priority="77" id="{E3EA938C-09AB-425F-AAD6-18C37EB5EF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H25:H29</xm:sqref>
        </x14:conditionalFormatting>
        <x14:conditionalFormatting xmlns:xm="http://schemas.microsoft.com/office/excel/2006/main">
          <x14:cfRule type="iconSet" priority="47" id="{7D432D3F-20AA-4D13-AF8C-7AABAADED6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H35</xm:sqref>
        </x14:conditionalFormatting>
        <x14:conditionalFormatting xmlns:xm="http://schemas.microsoft.com/office/excel/2006/main">
          <x14:cfRule type="iconSet" priority="74" id="{A8C832BB-DEC2-4277-953E-6D2B1880E4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I25:I29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COODINACION TLMK - EFI</dc:creator>
  <cp:lastModifiedBy>Ricardo Tello</cp:lastModifiedBy>
  <dcterms:created xsi:type="dcterms:W3CDTF">2026-05-15T16:25:22Z</dcterms:created>
  <dcterms:modified xsi:type="dcterms:W3CDTF">2026-05-21T06:36:52Z</dcterms:modified>
</cp:coreProperties>
</file>